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ix/GIT_REPOS/FRUCHTiii/FitYourRide/"/>
    </mc:Choice>
  </mc:AlternateContent>
  <xr:revisionPtr revIDLastSave="0" documentId="8_{40A682E4-2887-8143-ADFC-E12527198A65}" xr6:coauthVersionLast="47" xr6:coauthVersionMax="47" xr10:uidLastSave="{00000000-0000-0000-0000-000000000000}"/>
  <bookViews>
    <workbookView xWindow="3980" yWindow="2780" windowWidth="28040" windowHeight="17180" xr2:uid="{6991F89D-F8C5-834D-AB30-3EC6767A81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4" i="1" l="1"/>
  <c r="E57" i="1"/>
  <c r="E51" i="1"/>
  <c r="E50" i="1"/>
  <c r="E45" i="1"/>
  <c r="E62" i="1"/>
</calcChain>
</file>

<file path=xl/sharedStrings.xml><?xml version="1.0" encoding="utf-8"?>
<sst xmlns="http://schemas.openxmlformats.org/spreadsheetml/2006/main" count="161" uniqueCount="53">
  <si>
    <t>Fuß</t>
  </si>
  <si>
    <t>Stellung</t>
  </si>
  <si>
    <t>Boden → Tretlagermitte</t>
  </si>
  <si>
    <t>Boden → Lenkerklemmmitte</t>
  </si>
  <si>
    <t>Horizontal Tretlager → Lenker</t>
  </si>
  <si>
    <t>Ohne Fuß</t>
  </si>
  <si>
    <t>A/A</t>
  </si>
  <si>
    <t>A/X</t>
  </si>
  <si>
    <t>X/A</t>
  </si>
  <si>
    <t>X/X</t>
  </si>
  <si>
    <t>Klein</t>
  </si>
  <si>
    <t>Mittel</t>
  </si>
  <si>
    <t>Groß</t>
  </si>
  <si>
    <t>M/M</t>
  </si>
  <si>
    <t>Horizontal Tretlager → Lenkerklemmmitte</t>
  </si>
  <si>
    <t>Messpunkt</t>
  </si>
  <si>
    <t>Boden → Messpunkt</t>
  </si>
  <si>
    <t>Horizontal Tretlagermitte → Messpunkt</t>
  </si>
  <si>
    <t>Lenkerklemmmitte</t>
  </si>
  <si>
    <t>Hood rechts</t>
  </si>
  <si>
    <t>Angabe</t>
  </si>
  <si>
    <t>Dein Wert</t>
  </si>
  <si>
    <t>Eingestellte Fouriers-Lenkerbreite</t>
  </si>
  <si>
    <t>Stützenhöhe</t>
  </si>
  <si>
    <t>Klemmposition</t>
  </si>
  <si>
    <t>Boden → Schraubenmitte</t>
  </si>
  <si>
    <t>Horizontaler Abstand Schraubenmitte hinter Tretlagermitte</t>
  </si>
  <si>
    <t>H1</t>
  </si>
  <si>
    <t>H2</t>
  </si>
  <si>
    <t>H3</t>
  </si>
  <si>
    <t>Bezeichnung</t>
  </si>
  <si>
    <t>Einstellung</t>
  </si>
  <si>
    <t>Tatsächliche Skalenmarkierung eintragen</t>
  </si>
  <si>
    <t>Niedrige Einstellung</t>
  </si>
  <si>
    <t>Mittlere Einstellung</t>
  </si>
  <si>
    <t>Hohe Einstellung</t>
  </si>
  <si>
    <t>A</t>
  </si>
  <si>
    <t>M</t>
  </si>
  <si>
    <t>X</t>
  </si>
  <si>
    <t>Grundangabe</t>
  </si>
  <si>
    <t>Sattelhersteller und Modell</t>
  </si>
  <si>
    <t>Selle Italia SLR Advanced S3</t>
  </si>
  <si>
    <t>Schraubenmitte hinter Tretlager</t>
  </si>
  <si>
    <t>Boden → Sattelreferenzpunkt</t>
  </si>
  <si>
    <t>Sattelreferenzpunkt hinter Tretlager</t>
  </si>
  <si>
    <t>Messgröße</t>
  </si>
  <si>
    <t>Wert in mm</t>
  </si>
  <si>
    <t>Boden → Referenzpunkt auf der Satteloberfläche</t>
  </si>
  <si>
    <t>Sattelstellung auf den Schienen</t>
  </si>
  <si>
    <t>Schraubenmitte horizontal hinter Tretlager</t>
  </si>
  <si>
    <t>Sattelreferenzpunkt horizontal hinter Tretlager</t>
  </si>
  <si>
    <t>Sattel ganz nach vorne</t>
  </si>
  <si>
    <t>Sattel ganz nach hinten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</si>
</sst>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16C8-C740-D14D-8EE3-15D671A8966E}">
  <dimension ref="A1:F94"/>
  <sheetViews>
    <sheetView tabSelected="1" topLeftCell="A17" workbookViewId="0">
      <selection activeCell="A92" sqref="A92:C95"/>
    </sheetView>
  </sheetViews>
  <sheetFormatPr baseColWidth="10" defaultRowHeight="16" x14ac:dyDescent="0.2"/>
  <cols>
    <col min="1" max="1" width="29" bestFit="1" customWidth="1"/>
    <col min="2" max="2" width="23.83203125" bestFit="1" customWidth="1"/>
    <col min="3" max="3" width="29.33203125" customWidth="1"/>
    <col min="4" max="4" width="26.6640625" customWidth="1"/>
    <col min="5" max="5" width="33.33203125" customWidth="1"/>
    <col min="6" max="6" width="50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257</v>
      </c>
      <c r="D2">
        <v>852.5</v>
      </c>
      <c r="E2">
        <v>402</v>
      </c>
    </row>
    <row r="3" spans="1:5" x14ac:dyDescent="0.2">
      <c r="A3" t="s">
        <v>5</v>
      </c>
      <c r="B3" t="s">
        <v>7</v>
      </c>
      <c r="C3">
        <v>257</v>
      </c>
      <c r="D3">
        <v>999.5</v>
      </c>
      <c r="E3">
        <v>362</v>
      </c>
    </row>
    <row r="4" spans="1:5" x14ac:dyDescent="0.2">
      <c r="A4" t="s">
        <v>5</v>
      </c>
      <c r="B4" t="s">
        <v>8</v>
      </c>
      <c r="C4">
        <v>257</v>
      </c>
      <c r="D4">
        <v>863</v>
      </c>
      <c r="E4">
        <v>565</v>
      </c>
    </row>
    <row r="5" spans="1:5" x14ac:dyDescent="0.2">
      <c r="A5" t="s">
        <v>5</v>
      </c>
      <c r="B5" t="s">
        <v>9</v>
      </c>
      <c r="C5">
        <v>257</v>
      </c>
      <c r="D5">
        <v>1008.5</v>
      </c>
      <c r="E5">
        <v>525</v>
      </c>
    </row>
    <row r="6" spans="1:5" x14ac:dyDescent="0.2">
      <c r="A6" t="s">
        <v>10</v>
      </c>
      <c r="B6" t="s">
        <v>6</v>
      </c>
      <c r="C6">
        <v>263</v>
      </c>
      <c r="D6">
        <v>863</v>
      </c>
      <c r="E6">
        <v>394</v>
      </c>
    </row>
    <row r="7" spans="1:5" x14ac:dyDescent="0.2">
      <c r="A7" t="s">
        <v>10</v>
      </c>
      <c r="B7" t="s">
        <v>7</v>
      </c>
      <c r="C7">
        <v>263</v>
      </c>
      <c r="D7">
        <v>1009</v>
      </c>
      <c r="E7">
        <v>353</v>
      </c>
    </row>
    <row r="8" spans="1:5" x14ac:dyDescent="0.2">
      <c r="A8" t="s">
        <v>10</v>
      </c>
      <c r="B8" t="s">
        <v>8</v>
      </c>
      <c r="C8">
        <v>263</v>
      </c>
      <c r="D8">
        <v>875</v>
      </c>
      <c r="E8">
        <v>557</v>
      </c>
    </row>
    <row r="9" spans="1:5" x14ac:dyDescent="0.2">
      <c r="A9" t="s">
        <v>10</v>
      </c>
      <c r="B9" t="s">
        <v>9</v>
      </c>
      <c r="C9">
        <v>263</v>
      </c>
      <c r="D9">
        <v>1020.5</v>
      </c>
      <c r="E9">
        <v>516</v>
      </c>
    </row>
    <row r="10" spans="1:5" x14ac:dyDescent="0.2">
      <c r="A10" t="s">
        <v>11</v>
      </c>
      <c r="B10" t="s">
        <v>6</v>
      </c>
      <c r="C10">
        <v>268</v>
      </c>
      <c r="D10">
        <v>871</v>
      </c>
      <c r="E10">
        <v>388</v>
      </c>
    </row>
    <row r="11" spans="1:5" x14ac:dyDescent="0.2">
      <c r="A11" t="s">
        <v>11</v>
      </c>
      <c r="B11" t="s">
        <v>7</v>
      </c>
      <c r="C11">
        <v>268</v>
      </c>
      <c r="D11">
        <v>1017</v>
      </c>
      <c r="E11">
        <v>345.5</v>
      </c>
    </row>
    <row r="12" spans="1:5" x14ac:dyDescent="0.2">
      <c r="A12" t="s">
        <v>11</v>
      </c>
      <c r="B12" t="s">
        <v>8</v>
      </c>
      <c r="C12">
        <v>268</v>
      </c>
      <c r="D12">
        <v>885</v>
      </c>
      <c r="E12">
        <v>550</v>
      </c>
    </row>
    <row r="13" spans="1:5" x14ac:dyDescent="0.2">
      <c r="A13" t="s">
        <v>11</v>
      </c>
      <c r="B13" t="s">
        <v>9</v>
      </c>
      <c r="C13">
        <v>268</v>
      </c>
      <c r="D13">
        <v>1030.5</v>
      </c>
      <c r="E13">
        <v>508.5</v>
      </c>
    </row>
    <row r="14" spans="1:5" x14ac:dyDescent="0.2">
      <c r="A14" t="s">
        <v>12</v>
      </c>
      <c r="B14" t="s">
        <v>6</v>
      </c>
      <c r="C14">
        <v>275</v>
      </c>
      <c r="D14">
        <v>887</v>
      </c>
      <c r="E14">
        <v>374.5</v>
      </c>
    </row>
    <row r="15" spans="1:5" x14ac:dyDescent="0.2">
      <c r="A15" t="s">
        <v>12</v>
      </c>
      <c r="B15" t="s">
        <v>7</v>
      </c>
      <c r="C15">
        <v>275</v>
      </c>
      <c r="D15">
        <v>1033</v>
      </c>
      <c r="E15">
        <v>328</v>
      </c>
    </row>
    <row r="16" spans="1:5" x14ac:dyDescent="0.2">
      <c r="A16" t="s">
        <v>12</v>
      </c>
      <c r="B16" t="s">
        <v>8</v>
      </c>
      <c r="C16">
        <v>275</v>
      </c>
      <c r="D16">
        <v>904</v>
      </c>
      <c r="E16">
        <v>536</v>
      </c>
    </row>
    <row r="17" spans="1:5" x14ac:dyDescent="0.2">
      <c r="A17" t="s">
        <v>12</v>
      </c>
      <c r="B17" t="s">
        <v>9</v>
      </c>
      <c r="C17">
        <v>275</v>
      </c>
      <c r="D17">
        <v>1049.5</v>
      </c>
      <c r="E17">
        <v>491</v>
      </c>
    </row>
    <row r="21" spans="1:5" x14ac:dyDescent="0.2">
      <c r="A21" s="1" t="s">
        <v>0</v>
      </c>
      <c r="B21" s="1" t="s">
        <v>1</v>
      </c>
      <c r="C21" s="1" t="s">
        <v>2</v>
      </c>
      <c r="D21" s="1" t="s">
        <v>3</v>
      </c>
      <c r="E21" s="1" t="s">
        <v>14</v>
      </c>
    </row>
    <row r="22" spans="1:5" x14ac:dyDescent="0.2">
      <c r="A22" t="s">
        <v>5</v>
      </c>
      <c r="B22" t="s">
        <v>13</v>
      </c>
      <c r="C22">
        <v>257</v>
      </c>
      <c r="D22">
        <v>934</v>
      </c>
      <c r="E22">
        <v>469</v>
      </c>
    </row>
    <row r="23" spans="1:5" x14ac:dyDescent="0.2">
      <c r="A23" t="s">
        <v>10</v>
      </c>
      <c r="B23" t="s">
        <v>13</v>
      </c>
      <c r="C23">
        <v>262</v>
      </c>
      <c r="D23">
        <v>945</v>
      </c>
      <c r="E23">
        <v>460</v>
      </c>
    </row>
    <row r="24" spans="1:5" x14ac:dyDescent="0.2">
      <c r="A24" t="s">
        <v>11</v>
      </c>
      <c r="B24" t="s">
        <v>13</v>
      </c>
      <c r="C24">
        <v>266</v>
      </c>
      <c r="D24">
        <v>953.5</v>
      </c>
      <c r="E24">
        <v>452</v>
      </c>
    </row>
    <row r="25" spans="1:5" x14ac:dyDescent="0.2">
      <c r="A25" t="s">
        <v>12</v>
      </c>
      <c r="B25" t="s">
        <v>13</v>
      </c>
      <c r="C25">
        <v>277</v>
      </c>
      <c r="D25">
        <v>971.5</v>
      </c>
      <c r="E25">
        <v>438</v>
      </c>
    </row>
    <row r="28" spans="1:5" x14ac:dyDescent="0.2">
      <c r="A28" s="1" t="s">
        <v>0</v>
      </c>
      <c r="B28" s="1" t="s">
        <v>15</v>
      </c>
      <c r="C28" s="1" t="s">
        <v>16</v>
      </c>
      <c r="D28" s="1" t="s">
        <v>17</v>
      </c>
    </row>
    <row r="29" spans="1:5" x14ac:dyDescent="0.2">
      <c r="A29" t="s">
        <v>5</v>
      </c>
      <c r="B29" t="s">
        <v>18</v>
      </c>
      <c r="C29">
        <v>933.5</v>
      </c>
      <c r="D29">
        <v>469</v>
      </c>
    </row>
    <row r="30" spans="1:5" x14ac:dyDescent="0.2">
      <c r="A30" t="s">
        <v>5</v>
      </c>
      <c r="B30" t="s">
        <v>19</v>
      </c>
      <c r="C30">
        <v>955</v>
      </c>
      <c r="D30">
        <v>593</v>
      </c>
    </row>
    <row r="31" spans="1:5" x14ac:dyDescent="0.2">
      <c r="A31" t="s">
        <v>10</v>
      </c>
      <c r="B31" t="s">
        <v>18</v>
      </c>
      <c r="C31">
        <v>944.5</v>
      </c>
      <c r="D31">
        <v>460</v>
      </c>
    </row>
    <row r="32" spans="1:5" x14ac:dyDescent="0.2">
      <c r="A32" t="s">
        <v>10</v>
      </c>
      <c r="B32" t="s">
        <v>19</v>
      </c>
      <c r="C32">
        <v>969</v>
      </c>
      <c r="D32">
        <v>583</v>
      </c>
    </row>
    <row r="33" spans="1:6" x14ac:dyDescent="0.2">
      <c r="A33" t="s">
        <v>11</v>
      </c>
      <c r="B33" t="s">
        <v>18</v>
      </c>
      <c r="C33">
        <v>953.5</v>
      </c>
      <c r="D33">
        <v>452</v>
      </c>
    </row>
    <row r="34" spans="1:6" x14ac:dyDescent="0.2">
      <c r="A34" t="s">
        <v>11</v>
      </c>
      <c r="B34" t="s">
        <v>19</v>
      </c>
      <c r="C34">
        <v>978</v>
      </c>
      <c r="D34">
        <v>575</v>
      </c>
    </row>
    <row r="35" spans="1:6" x14ac:dyDescent="0.2">
      <c r="A35" t="s">
        <v>12</v>
      </c>
      <c r="B35" t="s">
        <v>18</v>
      </c>
      <c r="C35">
        <v>971.5</v>
      </c>
      <c r="D35">
        <v>437</v>
      </c>
    </row>
    <row r="36" spans="1:6" x14ac:dyDescent="0.2">
      <c r="A36" t="s">
        <v>12</v>
      </c>
      <c r="B36" t="s">
        <v>19</v>
      </c>
      <c r="C36">
        <v>998</v>
      </c>
      <c r="D36">
        <v>561</v>
      </c>
    </row>
    <row r="38" spans="1:6" x14ac:dyDescent="0.2">
      <c r="A38" s="1" t="s">
        <v>20</v>
      </c>
      <c r="B38" s="1" t="s">
        <v>21</v>
      </c>
    </row>
    <row r="39" spans="1:6" x14ac:dyDescent="0.2">
      <c r="A39" t="s">
        <v>22</v>
      </c>
      <c r="B39">
        <v>400</v>
      </c>
    </row>
    <row r="42" spans="1:6" x14ac:dyDescent="0.2">
      <c r="A42" s="1" t="s">
        <v>0</v>
      </c>
      <c r="B42" s="1" t="s">
        <v>23</v>
      </c>
      <c r="C42" s="1" t="s">
        <v>24</v>
      </c>
      <c r="D42" s="1" t="s">
        <v>2</v>
      </c>
      <c r="E42" s="1" t="s">
        <v>25</v>
      </c>
      <c r="F42" s="1" t="s">
        <v>26</v>
      </c>
    </row>
    <row r="43" spans="1:6" x14ac:dyDescent="0.2">
      <c r="A43" t="s">
        <v>5</v>
      </c>
      <c r="B43" t="s">
        <v>27</v>
      </c>
      <c r="C43">
        <v>0</v>
      </c>
      <c r="D43">
        <v>257</v>
      </c>
      <c r="E43">
        <v>785</v>
      </c>
      <c r="F43">
        <v>170</v>
      </c>
    </row>
    <row r="44" spans="1:6" x14ac:dyDescent="0.2">
      <c r="A44" t="s">
        <v>5</v>
      </c>
      <c r="B44" t="s">
        <v>28</v>
      </c>
      <c r="C44">
        <v>0</v>
      </c>
      <c r="D44">
        <v>257</v>
      </c>
      <c r="E44">
        <v>912</v>
      </c>
      <c r="F44">
        <v>208</v>
      </c>
    </row>
    <row r="45" spans="1:6" x14ac:dyDescent="0.2">
      <c r="A45" t="s">
        <v>5</v>
      </c>
      <c r="B45" t="s">
        <v>29</v>
      </c>
      <c r="C45">
        <v>0</v>
      </c>
      <c r="D45">
        <v>257</v>
      </c>
      <c r="E45">
        <f>995+38</f>
        <v>1033</v>
      </c>
      <c r="F45">
        <v>244</v>
      </c>
    </row>
    <row r="46" spans="1:6" x14ac:dyDescent="0.2">
      <c r="A46" t="s">
        <v>5</v>
      </c>
      <c r="B46" t="s">
        <v>28</v>
      </c>
      <c r="C46">
        <v>20</v>
      </c>
      <c r="D46">
        <v>257</v>
      </c>
      <c r="E46">
        <v>913</v>
      </c>
      <c r="F46">
        <v>188</v>
      </c>
    </row>
    <row r="47" spans="1:6" x14ac:dyDescent="0.2">
      <c r="A47" t="s">
        <v>5</v>
      </c>
      <c r="B47" t="s">
        <v>28</v>
      </c>
      <c r="C47">
        <v>40</v>
      </c>
      <c r="D47">
        <v>257</v>
      </c>
      <c r="E47">
        <v>914</v>
      </c>
      <c r="F47">
        <v>170</v>
      </c>
    </row>
    <row r="48" spans="1:6" x14ac:dyDescent="0.2">
      <c r="A48" t="s">
        <v>5</v>
      </c>
      <c r="B48" t="s">
        <v>28</v>
      </c>
      <c r="C48">
        <v>60</v>
      </c>
      <c r="D48">
        <v>257</v>
      </c>
      <c r="E48">
        <v>917</v>
      </c>
      <c r="F48">
        <v>149</v>
      </c>
    </row>
    <row r="49" spans="1:6" x14ac:dyDescent="0.2">
      <c r="A49" t="s">
        <v>10</v>
      </c>
      <c r="B49" t="s">
        <v>27</v>
      </c>
      <c r="C49">
        <v>0</v>
      </c>
      <c r="D49">
        <v>264</v>
      </c>
      <c r="E49">
        <v>787</v>
      </c>
      <c r="F49">
        <v>176</v>
      </c>
    </row>
    <row r="50" spans="1:6" x14ac:dyDescent="0.2">
      <c r="A50" t="s">
        <v>10</v>
      </c>
      <c r="B50" t="s">
        <v>28</v>
      </c>
      <c r="C50">
        <v>0</v>
      </c>
      <c r="D50">
        <v>264</v>
      </c>
      <c r="E50">
        <f>877+38</f>
        <v>915</v>
      </c>
      <c r="F50">
        <v>216.5</v>
      </c>
    </row>
    <row r="51" spans="1:6" x14ac:dyDescent="0.2">
      <c r="A51" t="s">
        <v>10</v>
      </c>
      <c r="B51" t="s">
        <v>29</v>
      </c>
      <c r="C51">
        <v>0</v>
      </c>
      <c r="D51">
        <v>264</v>
      </c>
      <c r="E51">
        <f>996.5+38</f>
        <v>1034.5</v>
      </c>
      <c r="F51">
        <v>254</v>
      </c>
    </row>
    <row r="52" spans="1:6" x14ac:dyDescent="0.2">
      <c r="A52" t="s">
        <v>10</v>
      </c>
      <c r="B52" t="s">
        <v>28</v>
      </c>
      <c r="C52">
        <v>20</v>
      </c>
      <c r="D52">
        <v>264</v>
      </c>
      <c r="E52">
        <v>916.5</v>
      </c>
      <c r="F52">
        <v>195</v>
      </c>
    </row>
    <row r="53" spans="1:6" x14ac:dyDescent="0.2">
      <c r="A53" t="s">
        <v>10</v>
      </c>
      <c r="B53" t="s">
        <v>28</v>
      </c>
      <c r="C53">
        <v>40</v>
      </c>
      <c r="D53">
        <v>264</v>
      </c>
      <c r="E53">
        <v>918</v>
      </c>
      <c r="F53">
        <v>178</v>
      </c>
    </row>
    <row r="54" spans="1:6" x14ac:dyDescent="0.2">
      <c r="A54" t="s">
        <v>10</v>
      </c>
      <c r="B54" t="s">
        <v>28</v>
      </c>
      <c r="C54">
        <v>60</v>
      </c>
      <c r="D54">
        <v>264</v>
      </c>
      <c r="E54">
        <v>920</v>
      </c>
      <c r="F54">
        <v>158</v>
      </c>
    </row>
    <row r="55" spans="1:6" x14ac:dyDescent="0.2">
      <c r="A55" t="s">
        <v>11</v>
      </c>
      <c r="B55" t="s">
        <v>27</v>
      </c>
      <c r="C55">
        <v>0</v>
      </c>
      <c r="D55">
        <v>266.5</v>
      </c>
      <c r="E55">
        <v>790</v>
      </c>
      <c r="F55">
        <v>182</v>
      </c>
    </row>
    <row r="56" spans="1:6" x14ac:dyDescent="0.2">
      <c r="A56" t="s">
        <v>11</v>
      </c>
      <c r="B56" t="s">
        <v>28</v>
      </c>
      <c r="C56">
        <v>0</v>
      </c>
      <c r="D56">
        <v>266.5</v>
      </c>
      <c r="E56">
        <v>917.5</v>
      </c>
      <c r="F56">
        <v>223.5</v>
      </c>
    </row>
    <row r="57" spans="1:6" x14ac:dyDescent="0.2">
      <c r="A57" t="s">
        <v>11</v>
      </c>
      <c r="B57" t="s">
        <v>29</v>
      </c>
      <c r="C57">
        <v>0</v>
      </c>
      <c r="D57">
        <v>266.5</v>
      </c>
      <c r="E57">
        <f>998+38</f>
        <v>1036</v>
      </c>
      <c r="F57">
        <v>266</v>
      </c>
    </row>
    <row r="58" spans="1:6" x14ac:dyDescent="0.2">
      <c r="A58" t="s">
        <v>11</v>
      </c>
      <c r="B58" t="s">
        <v>28</v>
      </c>
      <c r="C58">
        <v>20</v>
      </c>
      <c r="D58">
        <v>266.5</v>
      </c>
      <c r="E58">
        <v>919</v>
      </c>
      <c r="F58">
        <v>203.5</v>
      </c>
    </row>
    <row r="59" spans="1:6" x14ac:dyDescent="0.2">
      <c r="A59" t="s">
        <v>11</v>
      </c>
      <c r="B59" t="s">
        <v>28</v>
      </c>
      <c r="C59">
        <v>40</v>
      </c>
      <c r="D59">
        <v>266.5</v>
      </c>
      <c r="E59">
        <v>921</v>
      </c>
      <c r="F59">
        <v>185</v>
      </c>
    </row>
    <row r="60" spans="1:6" x14ac:dyDescent="0.2">
      <c r="A60" t="s">
        <v>11</v>
      </c>
      <c r="B60" t="s">
        <v>28</v>
      </c>
      <c r="C60">
        <v>60</v>
      </c>
      <c r="D60">
        <v>266.5</v>
      </c>
      <c r="E60">
        <v>924</v>
      </c>
      <c r="F60">
        <v>164</v>
      </c>
    </row>
    <row r="61" spans="1:6" x14ac:dyDescent="0.2">
      <c r="A61" t="s">
        <v>12</v>
      </c>
      <c r="B61" t="s">
        <v>27</v>
      </c>
      <c r="C61">
        <v>0</v>
      </c>
      <c r="D61">
        <v>277</v>
      </c>
      <c r="E61">
        <v>794</v>
      </c>
      <c r="F61">
        <v>194</v>
      </c>
    </row>
    <row r="62" spans="1:6" x14ac:dyDescent="0.2">
      <c r="A62" t="s">
        <v>12</v>
      </c>
      <c r="B62" t="s">
        <v>28</v>
      </c>
      <c r="C62">
        <v>0</v>
      </c>
      <c r="D62">
        <v>277</v>
      </c>
      <c r="E62">
        <f>883.5+38</f>
        <v>921.5</v>
      </c>
      <c r="F62">
        <v>238</v>
      </c>
    </row>
    <row r="63" spans="1:6" x14ac:dyDescent="0.2">
      <c r="A63" t="s">
        <v>12</v>
      </c>
      <c r="B63" t="s">
        <v>29</v>
      </c>
      <c r="C63">
        <v>0</v>
      </c>
      <c r="D63">
        <v>277</v>
      </c>
      <c r="E63">
        <v>1040</v>
      </c>
      <c r="F63">
        <v>278</v>
      </c>
    </row>
    <row r="64" spans="1:6" x14ac:dyDescent="0.2">
      <c r="A64" t="s">
        <v>12</v>
      </c>
      <c r="B64" t="s">
        <v>28</v>
      </c>
      <c r="C64">
        <v>20</v>
      </c>
      <c r="D64">
        <v>277</v>
      </c>
      <c r="E64">
        <v>923.5</v>
      </c>
      <c r="F64">
        <v>216</v>
      </c>
    </row>
    <row r="65" spans="1:6" x14ac:dyDescent="0.2">
      <c r="A65" t="s">
        <v>12</v>
      </c>
      <c r="B65" t="s">
        <v>28</v>
      </c>
      <c r="C65">
        <v>40</v>
      </c>
      <c r="D65">
        <v>277</v>
      </c>
      <c r="E65">
        <v>925</v>
      </c>
      <c r="F65">
        <v>198</v>
      </c>
    </row>
    <row r="66" spans="1:6" x14ac:dyDescent="0.2">
      <c r="A66" t="s">
        <v>12</v>
      </c>
      <c r="B66" t="s">
        <v>28</v>
      </c>
      <c r="C66">
        <v>60</v>
      </c>
      <c r="D66">
        <v>277</v>
      </c>
      <c r="E66">
        <v>923.5</v>
      </c>
      <c r="F66">
        <v>180</v>
      </c>
    </row>
    <row r="70" spans="1:6" x14ac:dyDescent="0.2">
      <c r="A70" s="1" t="s">
        <v>30</v>
      </c>
      <c r="B70" s="1" t="s">
        <v>31</v>
      </c>
      <c r="C70" s="1" t="s">
        <v>32</v>
      </c>
    </row>
    <row r="71" spans="1:6" x14ac:dyDescent="0.2">
      <c r="A71" t="s">
        <v>27</v>
      </c>
      <c r="B71" t="s">
        <v>33</v>
      </c>
      <c r="C71" t="s">
        <v>36</v>
      </c>
    </row>
    <row r="72" spans="1:6" x14ac:dyDescent="0.2">
      <c r="A72" t="s">
        <v>28</v>
      </c>
      <c r="B72" t="s">
        <v>34</v>
      </c>
      <c r="C72" t="s">
        <v>37</v>
      </c>
    </row>
    <row r="73" spans="1:6" x14ac:dyDescent="0.2">
      <c r="A73" t="s">
        <v>29</v>
      </c>
      <c r="B73" t="s">
        <v>35</v>
      </c>
      <c r="C73" t="s">
        <v>38</v>
      </c>
    </row>
    <row r="76" spans="1:6" x14ac:dyDescent="0.2">
      <c r="A76" s="1" t="s">
        <v>39</v>
      </c>
      <c r="B76" s="1" t="s">
        <v>21</v>
      </c>
    </row>
    <row r="77" spans="1:6" x14ac:dyDescent="0.2">
      <c r="A77" t="s">
        <v>40</v>
      </c>
      <c r="B77" t="s">
        <v>41</v>
      </c>
    </row>
    <row r="78" spans="1:6" x14ac:dyDescent="0.2">
      <c r="A78" t="s">
        <v>0</v>
      </c>
      <c r="B78" t="s">
        <v>11</v>
      </c>
    </row>
    <row r="79" spans="1:6" x14ac:dyDescent="0.2">
      <c r="A79" t="s">
        <v>23</v>
      </c>
      <c r="B79" t="s">
        <v>37</v>
      </c>
    </row>
    <row r="81" spans="1:5" x14ac:dyDescent="0.2">
      <c r="A81" s="1" t="s">
        <v>24</v>
      </c>
      <c r="B81" s="1" t="s">
        <v>25</v>
      </c>
      <c r="C81" s="1" t="s">
        <v>42</v>
      </c>
      <c r="D81" s="1" t="s">
        <v>43</v>
      </c>
      <c r="E81" s="1" t="s">
        <v>44</v>
      </c>
    </row>
    <row r="82" spans="1:5" x14ac:dyDescent="0.2">
      <c r="A82">
        <v>0</v>
      </c>
    </row>
    <row r="83" spans="1:5" x14ac:dyDescent="0.2">
      <c r="A83">
        <v>20</v>
      </c>
    </row>
    <row r="84" spans="1:5" x14ac:dyDescent="0.2">
      <c r="A84">
        <v>40</v>
      </c>
      <c r="D84">
        <f>880+38</f>
        <v>918</v>
      </c>
    </row>
    <row r="85" spans="1:5" x14ac:dyDescent="0.2">
      <c r="A85">
        <v>60</v>
      </c>
    </row>
    <row r="87" spans="1:5" x14ac:dyDescent="0.2">
      <c r="A87" s="1" t="s">
        <v>45</v>
      </c>
      <c r="B87" s="1" t="s">
        <v>46</v>
      </c>
    </row>
    <row r="88" spans="1:5" x14ac:dyDescent="0.2">
      <c r="A88" t="s">
        <v>25</v>
      </c>
      <c r="B88">
        <v>918</v>
      </c>
    </row>
    <row r="89" spans="1:5" x14ac:dyDescent="0.2">
      <c r="A89" t="s">
        <v>47</v>
      </c>
      <c r="B89">
        <v>970</v>
      </c>
    </row>
    <row r="92" spans="1:5" x14ac:dyDescent="0.2">
      <c r="A92" s="1" t="s">
        <v>48</v>
      </c>
      <c r="B92" s="1" t="s">
        <v>49</v>
      </c>
      <c r="C92" s="1" t="s">
        <v>50</v>
      </c>
    </row>
    <row r="93" spans="1:5" x14ac:dyDescent="0.2">
      <c r="A93" t="s">
        <v>51</v>
      </c>
      <c r="B93">
        <v>223.5</v>
      </c>
      <c r="C93">
        <v>210</v>
      </c>
    </row>
    <row r="94" spans="1:5" x14ac:dyDescent="0.2">
      <c r="A94" t="s">
        <v>52</v>
      </c>
      <c r="B94">
        <v>223.5</v>
      </c>
      <c r="C94">
        <v>23.15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Six</dc:creator>
  <cp:lastModifiedBy>Johannes Six</cp:lastModifiedBy>
  <dcterms:created xsi:type="dcterms:W3CDTF">2026-09-15T17:49:06Z</dcterms:created>
  <dcterms:modified xsi:type="dcterms:W3CDTF">2026-09-19T15:32:00Z</dcterms:modified>
</cp:coreProperties>
</file>